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a2129841c54e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基建配料表" sheetId="1" r:id="R3a75bede2ab340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6">
    <x:font>
      <x:sz val="11"/>
      <x:name val="Carlito"/>
    </x:font>
    <x:font>
      <x:sz val="10"/>
      <x:color rgb="FF253342"/>
      <x:name val="Noto Sans CJK SC"/>
    </x:font>
    <x:font>
      <x:b/>
      <x:sz val="15"/>
      <x:color rgb="FF24476B"/>
      <x:name val="Noto Sans CJK SC"/>
    </x:font>
    <x:font>
      <x:sz val="10"/>
      <x:color rgb="FF64748B"/>
      <x:name val="Noto Sans CJK SC"/>
    </x:font>
    <x:font>
      <x:b/>
      <x:sz val="10"/>
      <x:color rgb="FFFFFFFF"/>
      <x:name val="Noto Sans CJK SC"/>
    </x:font>
    <x:font>
      <x:b/>
      <x:sz val="10"/>
      <x:color rgb="FF245E4E"/>
      <x:name val="Noto Sans CJK SC"/>
    </x:font>
  </x:fonts>
  <x:fills count="4">
    <x:fill>
      <x:patternFill patternType="none"/>
    </x:fill>
    <x:fill>
      <x:patternFill patternType="gray125"/>
    </x:fill>
    <x:fill>
      <x:patternFill patternType="solid">
        <x:fgColor rgb="FF24476B"/>
      </x:patternFill>
    </x:fill>
    <x:fill>
      <x:patternFill patternType="solid">
        <x:fgColor rgb="FFF1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right"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07c40cc0bd49ab" /><Relationship Type="http://schemas.openxmlformats.org/officeDocument/2006/relationships/theme" Target="/xl/theme/theme1.xml" Id="R65771df9d2764abf" /><Relationship Type="http://schemas.openxmlformats.org/officeDocument/2006/relationships/sharedStrings" Target="/xl/sharedStrings.xml" Id="Ra46d7e8a2b644ce1" /><Relationship Type="http://schemas.openxmlformats.org/officeDocument/2006/relationships/worksheet" Target="/xl/worksheets/sheet1.xml" Id="R3a75bede2ab3404a" /></Relationships>
</file>

<file path=xl/tables/table1.xml><?xml version="1.0" encoding="utf-8"?>
<x:table xmlns:x="http://schemas.openxmlformats.org/spreadsheetml/2006/main" id="1" name="ProductionRecipes" displayName="ProductionRecipes" ref="A6:O27" headerRowCount="1" totalsRowCount="0" totalsRowShown="0">
  <x:autoFilter ref="A6:O27"/>
  <x:tableColumns count="15">
    <x:tableColumn id="1" name="产物"/>
    <x:tableColumn id="2" name="工艺"/>
    <x:tableColumn id="3" name="源矿"/>
    <x:tableColumn id="4" name="蓝铁矿"/>
    <x:tableColumn id="5" name="赤铜矿"/>
    <x:tableColumn id="6" name="息壤（总）"/>
    <x:tableColumn id="7" name="息壤气（总）"/>
    <x:tableColumn id="8" name="占用成本（另计）"/>
    <x:tableColumn id="9" name="激活设备息壤气"/>
    <x:tableColumn id="10" name="激活设备液化息壤"/>
    <x:tableColumn id="11" name="单价"/>
    <x:tableColumn id="12" name="满速产量/min"/>
    <x:tableColumn id="13" name="满速价值/min"/>
    <x:tableColumn id="14" name="外部废液/min"/>
    <x:tableColumn id="15" name="备注：产线区别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f477bdc5794937" /></Relationships>
</file>

<file path=xl/worksheets/sheet1.xml><?xml version="1.0" encoding="utf-8"?>
<x:worksheet xmlns:x="http://schemas.openxmlformats.org/spreadsheetml/2006/main">
  <x:sheetPr>
    <x:tabColor rgb="FF24476B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3" hidden="0" customWidth="1"/>
    <x:col min="2" max="2" width="25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20" hidden="0" customWidth="1"/>
    <x:col min="9" max="9" width="16" hidden="0" customWidth="1"/>
    <x:col min="10" max="10" width="16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72" hidden="0" customWidth="1"/>
  </x:cols>
  <x:sheetData>
    <x:row r="1">
      <x:c r="A1" s="2" t="str">
        <x:v>基建配料表 · 工艺筛选修订版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3" t="str">
        <x:v>单位：个/min。21条保留工艺；比较同产物、同产率、同供给条件下的原矿、蓝铁、赤铜、息壤与息壤气。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3" t="str">
        <x:v>口径：惰气、清水、植物和沉积酸供应可满足；不比较占地、耗电或设备数。激活量为总量子集，不能重复相加。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3" t="str">
        <x:v>来源：一图流 factoriolab-ark-endfield-3rd-test.zip，src/data/aef/data.json，数据版本v1.5.3；单价沿用原表，未由该包验证。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44" customHeight="1">
      <x:c r="A6" s="8" t="str">
        <x:v>产物</x:v>
      </x:c>
      <x:c r="B6" s="8" t="str">
        <x:v>工艺</x:v>
      </x:c>
      <x:c r="C6" s="8" t="str">
        <x:v>源矿</x:v>
      </x:c>
      <x:c r="D6" s="8" t="str">
        <x:v>蓝铁矿</x:v>
      </x:c>
      <x:c r="E6" s="8" t="str">
        <x:v>赤铜矿</x:v>
      </x:c>
      <x:c r="F6" s="8" t="str">
        <x:v>息壤（总）</x:v>
      </x:c>
      <x:c r="G6" s="8" t="str">
        <x:v>息壤气（总）</x:v>
      </x:c>
      <x:c r="H6" s="8" t="str">
        <x:v>占用成本（另计）</x:v>
      </x:c>
      <x:c r="I6" s="8" t="str">
        <x:v>激活设备息壤气</x:v>
      </x:c>
      <x:c r="J6" s="8" t="str">
        <x:v>激活设备液化息壤</x:v>
      </x:c>
      <x:c r="K6" s="8" t="str">
        <x:v>单价</x:v>
      </x:c>
      <x:c r="L6" s="8" t="str">
        <x:v>满速产量/min</x:v>
      </x:c>
      <x:c r="M6" s="8" t="str">
        <x:v>满速价值/min</x:v>
      </x:c>
      <x:c r="N6" s="8" t="str">
        <x:v>外部废液/min</x:v>
      </x:c>
      <x:c r="O6" s="8" t="str">
        <x:v>备注：产线区别</x:v>
      </x:c>
    </x:row>
    <x:row r="7" ht="60" customHeight="1">
      <x:c r="A7" s="14" t="str">
        <x:v>低电</x:v>
      </x:c>
      <x:c r="B7" s="14" t="str">
        <x:v>普通</x:v>
      </x:c>
      <x:c r="C7" s="15" t="n">
        <x:v>180</x:v>
      </x:c>
      <x:c r="D7" s="15" t="n">
        <x:v>0</x:v>
      </x:c>
      <x:c r="E7" s="15" t="n">
        <x:v>0</x:v>
      </x:c>
      <x:c r="F7" s="15" t="n">
        <x:v>30</x:v>
      </x:c>
      <x:c r="G7" s="15" t="n">
        <x:v>0</x:v>
      </x:c>
      <x:c r="H7" s="16" t="n">
        <x:v>0</x:v>
      </x:c>
      <x:c r="I7" s="15" t="n">
        <x:v>0</x:v>
      </x:c>
      <x:c r="J7" s="15" t="n">
        <x:v>0</x:v>
      </x:c>
      <x:c r="K7" s="15" t="n">
        <x:v>25</x:v>
      </x:c>
      <x:c r="L7" s="15" t="n">
        <x:v>6</x:v>
      </x:c>
      <x:c r="M7" s="15" t="n">
        <x:f>K7*L7</x:f>
        <x:v>150</x:v>
      </x:c>
      <x:c r="N7" s="15" t="n">
        <x:v>0</x:v>
      </x:c>
      <x:c r="O7" s="14" t="str">
        <x:v>30息壤＋90致密源石粉末→6低容武陵电池；粉末折合180源矿。植物
辅料未列。</x:v>
      </x:c>
    </x:row>
    <x:row r="8" ht="60" customHeight="1">
      <x:c r="A8" s="10" t="str">
        <x:v>蓝药</x:v>
      </x:c>
      <x:c r="B8" s="10" t="str">
        <x:v>普通</x:v>
      </x:c>
      <x:c r="C8" s="13" t="n">
        <x:v>0</x:v>
      </x:c>
      <x:c r="D8" s="13" t="n">
        <x:v>120</x:v>
      </x:c>
      <x:c r="E8" s="13" t="n">
        <x:v>0</x:v>
      </x:c>
      <x:c r="F8" s="13" t="n">
        <x:v>0</x:v>
      </x:c>
      <x:c r="G8" s="13" t="n">
        <x:v>0</x:v>
      </x:c>
      <x:c r="H8" s="12" t="n">
        <x:v>0</x:v>
      </x:c>
      <x:c r="I8" s="13" t="n">
        <x:v>0</x:v>
      </x:c>
      <x:c r="J8" s="13" t="n">
        <x:v>0</x:v>
      </x:c>
      <x:c r="K8" s="13" t="n">
        <x:v>16</x:v>
      </x:c>
      <x:c r="L8" s="13" t="n">
        <x:v>6</x:v>
      </x:c>
      <x:c r="M8" s="13" t="n">
        <x:f>K8*L8</x:f>
        <x:v>96</x:v>
      </x:c>
      <x:c r="N8" s="13" t="n">
        <x:v>0</x:v>
      </x:c>
      <x:c r="O8" s="10" t="str">
        <x:v>对应芽针针剂：铁制零件＋芽针溶液蓝铁瓶；120蓝铁。芽针等植物辅料未
列。</x:v>
      </x:c>
    </x:row>
    <x:row r="9" ht="60" customHeight="1">
      <x:c r="A9" s="14" t="str">
        <x:v>紫药</x:v>
      </x:c>
      <x:c r="B9" s="14" t="str">
        <x:v>普通</x:v>
      </x:c>
      <x:c r="C9" s="15" t="n">
        <x:v>0</x:v>
      </x:c>
      <x:c r="D9" s="15" t="n">
        <x:v>0</x:v>
      </x:c>
      <x:c r="E9" s="15" t="n">
        <x:v>120</x:v>
      </x:c>
      <x:c r="F9" s="15" t="n">
        <x:v>0</x:v>
      </x:c>
      <x:c r="G9" s="15" t="n">
        <x:v>0</x:v>
      </x:c>
      <x:c r="H9" s="16" t="n">
        <x:v>0</x:v>
      </x:c>
      <x:c r="I9" s="15" t="n">
        <x:v>0</x:v>
      </x:c>
      <x:c r="J9" s="15" t="n">
        <x:v>0</x:v>
      </x:c>
      <x:c r="K9" s="15" t="n">
        <x:v>22</x:v>
      </x:c>
      <x:c r="L9" s="15" t="n">
        <x:v>6</x:v>
      </x:c>
      <x:c r="M9" s="15" t="n">
        <x:f>K9*L9</x:f>
        <x:v>132</x:v>
      </x:c>
      <x:c r="N9" s="15" t="n">
        <x:v>0</x:v>
      </x:c>
      <x:c r="O9" s="14" t="str">
        <x:v>对应优质芽针针剂：赤铜零件＋芽针溶液赤铜瓶；120赤铜。植物辅料未列
。</x:v>
      </x:c>
    </x:row>
    <x:row r="10" ht="60" customHeight="1">
      <x:c r="A10" s="10" t="str">
        <x:v>中电</x:v>
      </x:c>
      <x:c r="B10" s="10" t="str">
        <x:v>主反应+提纯</x:v>
      </x:c>
      <x:c r="C10" s="13" t="n">
        <x:v>240</x:v>
      </x:c>
      <x:c r="D10" s="13" t="n">
        <x:v>30</x:v>
      </x:c>
      <x:c r="E10" s="13" t="n">
        <x:v>0</x:v>
      </x:c>
      <x:c r="F10" s="13" t="n">
        <x:v>48</x:v>
      </x:c>
      <x:c r="G10" s="13" t="n">
        <x:v>0</x:v>
      </x:c>
      <x:c r="H10" s="12" t="n">
        <x:v>0</x:v>
      </x:c>
      <x:c r="I10" s="13" t="n">
        <x:v>0</x:v>
      </x:c>
      <x:c r="J10" s="13" t="n">
        <x:v>0</x:v>
      </x:c>
      <x:c r="K10" s="13" t="n">
        <x:v>54</x:v>
      </x:c>
      <x:c r="L10" s="13" t="n">
        <x:v>6</x:v>
      </x:c>
      <x:c r="M10" s="13" t="n">
        <x:f>K10*L10</x:f>
        <x:v>324</x:v>
      </x:c>
      <x:c r="N10" s="13" t="n">
        <x:v>0</x:v>
      </x:c>
      <x:c r="O10" s="10" t="str">
        <x:v>30壤晶耗60废液；主反应与惰性废液提纯联用，48息壤供60废液。</x:v>
      </x:c>
    </x:row>
    <x:row r="11" ht="60" customHeight="1">
      <x:c r="A11" s="14" t="str">
        <x:v>中电</x:v>
      </x:c>
      <x:c r="B11" s="14" t="str">
        <x:v>主反应+提纯+节点</x:v>
      </x:c>
      <x:c r="C11" s="15" t="n">
        <x:v>240</x:v>
      </x:c>
      <x:c r="D11" s="15" t="n">
        <x:v>30</x:v>
      </x:c>
      <x:c r="E11" s="15" t="n">
        <x:v>0</x:v>
      </x:c>
      <x:c r="F11" s="15" t="n">
        <x:v>38.4</x:v>
      </x:c>
      <x:c r="G11" s="15" t="n">
        <x:v>0</x:v>
      </x:c>
      <x:c r="H11" s="16" t="n">
        <x:v>0</x:v>
      </x:c>
      <x:c r="I11" s="15" t="n">
        <x:v>0</x:v>
      </x:c>
      <x:c r="J11" s="15" t="n">
        <x:v>0</x:v>
      </x:c>
      <x:c r="K11" s="15" t="n">
        <x:v>54</x:v>
      </x:c>
      <x:c r="L11" s="15" t="n">
        <x:v>6</x:v>
      </x:c>
      <x:c r="M11" s="15" t="n">
        <x:f>K11*L11</x:f>
        <x:v>324</x:v>
      </x:c>
      <x:c r="N11" s="15" t="n">
        <x:v>12</x:v>
      </x:c>
      <x:c r="O11" s="14" t="str">
        <x:v>与无节点路线相同，外部12废液抵扣9.6息壤；外部供液只能全方案分配
一次。</x:v>
      </x:c>
    </x:row>
    <x:row r="12" ht="60" customHeight="1">
      <x:c r="A12" s="10" t="str">
        <x:v>赫铜</x:v>
      </x:c>
      <x:c r="B12" s="10" t="str">
        <x:v>古法</x:v>
      </x:c>
      <x:c r="C12" s="13" t="n">
        <x:v>0</x:v>
      </x:c>
      <x:c r="D12" s="13" t="n">
        <x:v>30</x:v>
      </x:c>
      <x:c r="E12" s="13" t="n">
        <x:v>240</x:v>
      </x:c>
      <x:c r="F12" s="13" t="n">
        <x:v>0</x:v>
      </x:c>
      <x:c r="G12" s="13" t="n">
        <x:v>0</x:v>
      </x:c>
      <x:c r="H12" s="12" t="n">
        <x:v>0</x:v>
      </x:c>
      <x:c r="I12" s="13" t="n">
        <x:v>0</x:v>
      </x:c>
      <x:c r="J12" s="13" t="n">
        <x:v>0</x:v>
      </x:c>
      <x:c r="K12" s="13" t="n">
        <x:v>48</x:v>
      </x:c>
      <x:c r="L12" s="13" t="n">
        <x:v>6</x:v>
      </x:c>
      <x:c r="M12" s="13" t="n">
        <x:f>K12*L12</x:f>
        <x:v>288</x:v>
      </x:c>
      <x:c r="N12" s="13" t="n">
        <x:v>0</x:v>
      </x:c>
      <x:c r="O12" s="10" t="str">
        <x:v>赤铜液→赫铜液→赫铜块→赫铜零件；需30蓝铁。净酸耗180；未列清水
等。</x:v>
      </x:c>
    </x:row>
    <x:row r="13" ht="60" customHeight="1">
      <x:c r="A13" s="14" t="str">
        <x:v>赫铜</x:v>
      </x:c>
      <x:c r="B13" s="14" t="str">
        <x:v>固气</x:v>
      </x:c>
      <x:c r="C13" s="15" t="n">
        <x:v>0</x:v>
      </x:c>
      <x:c r="D13" s="15" t="n">
        <x:v>0</x:v>
      </x:c>
      <x:c r="E13" s="15" t="n">
        <x:v>150</x:v>
      </x:c>
      <x:c r="F13" s="15" t="n">
        <x:v>15</x:v>
      </x:c>
      <x:c r="G13" s="15" t="n">
        <x:v>18</x:v>
      </x:c>
      <x:c r="H13" s="16" t="n">
        <x:v>0</x:v>
      </x:c>
      <x:c r="I13" s="15" t="n">
        <x:v>18</x:v>
      </x:c>
      <x:c r="J13" s="15" t="n">
        <x:v>0</x:v>
      </x:c>
      <x:c r="K13" s="15" t="n">
        <x:v>48</x:v>
      </x:c>
      <x:c r="L13" s="15" t="n">
        <x:v>6</x:v>
      </x:c>
      <x:c r="M13" s="15" t="n">
        <x:f>K13*L13</x:f>
        <x:v>288</x:v>
      </x:c>
      <x:c r="N13" s="15" t="n">
        <x:v>0</x:v>
      </x:c>
      <x:c r="O13" s="14" t="str">
        <x:v>赤铜块→赤铜气→惰气提纯赫铜气→赫铜块→零件；含分离芯，激活气18。</x:v>
      </x:c>
    </x:row>
    <x:row r="14" ht="60" customHeight="1">
      <x:c r="A14" s="10" t="str">
        <x:v>赫铜</x:v>
      </x:c>
      <x:c r="B14" s="10" t="str">
        <x:v>液气</x:v>
      </x:c>
      <x:c r="C14" s="13" t="n">
        <x:v>0</x:v>
      </x:c>
      <x:c r="D14" s="13" t="n">
        <x:v>0</x:v>
      </x:c>
      <x:c r="E14" s="13" t="n">
        <x:v>150</x:v>
      </x:c>
      <x:c r="F14" s="13" t="n">
        <x:v>27</x:v>
      </x:c>
      <x:c r="G14" s="13" t="n">
        <x:v>6</x:v>
      </x:c>
      <x:c r="H14" s="12" t="n">
        <x:v>0</x:v>
      </x:c>
      <x:c r="I14" s="13" t="n">
        <x:v>6</x:v>
      </x:c>
      <x:c r="J14" s="13" t="n">
        <x:v>12</x:v>
      </x:c>
      <x:c r="K14" s="13" t="n">
        <x:v>48</x:v>
      </x:c>
      <x:c r="L14" s="13" t="n">
        <x:v>6</x:v>
      </x:c>
      <x:c r="M14" s="13" t="n">
        <x:f>K14*L14</x:f>
        <x:v>288</x:v>
      </x:c>
      <x:c r="N14" s="13" t="n">
        <x:v>0</x:v>
      </x:c>
      <x:c r="O14" s="10" t="str">
        <x:v>赤铜液→赤铜气→惰气提纯赫铜气→赫铜块→零件；15息壤＋12激活液＝
27，修正原表激活液0为12。</x:v>
      </x:c>
    </x:row>
    <x:row r="15" ht="60" customHeight="1">
      <x:c r="A15" s="14" t="str">
        <x:v>赫铜</x:v>
      </x:c>
      <x:c r="B15" s="17" t="str">
        <x:v>液提纯→液转气</x:v>
      </x:c>
      <x:c r="C15" s="15" t="n">
        <x:v>0</x:v>
      </x:c>
      <x:c r="D15" s="15" t="n">
        <x:v>0</x:v>
      </x:c>
      <x:c r="E15" s="15" t="n">
        <x:v>240</x:v>
      </x:c>
      <x:c r="F15" s="15" t="n">
        <x:v>12</x:v>
      </x:c>
      <x:c r="G15" s="15" t="n">
        <x:v>6</x:v>
      </x:c>
      <x:c r="H15" s="16" t="n">
        <x:v>0</x:v>
      </x:c>
      <x:c r="I15" s="15" t="n">
        <x:v>6</x:v>
      </x:c>
      <x:c r="J15" s="15" t="n">
        <x:v>12</x:v>
      </x:c>
      <x:c r="K15" s="15" t="n">
        <x:v>48</x:v>
      </x:c>
      <x:c r="L15" s="15" t="n">
        <x:v>6</x:v>
      </x:c>
      <x:c r="M15" s="15" t="n">
        <x:f>K15*L15</x:f>
        <x:v>288</x:v>
      </x:c>
      <x:c r="N15" s="15" t="n">
        <x:v>0</x:v>
      </x:c>
      <x:c r="O15" s="14" t="str">
        <x:v>新增：赤铜液→赫铜液→液气转赫铜气→固气制赫铜块→零件；多赤铜换少息
壤。净酸耗180。</x:v>
      </x:c>
    </x:row>
    <x:row r="16" ht="60" customHeight="1">
      <x:c r="A16" s="10" t="str">
        <x:v>赫铜</x:v>
      </x:c>
      <x:c r="B16" s="18" t="str">
        <x:v>气提纯→转液制块</x:v>
      </x:c>
      <x:c r="C16" s="13" t="n">
        <x:v>0</x:v>
      </x:c>
      <x:c r="D16" s="13" t="n">
        <x:v>30</x:v>
      </x:c>
      <x:c r="E16" s="13" t="n">
        <x:v>150</x:v>
      </x:c>
      <x:c r="F16" s="13" t="n">
        <x:v>39</x:v>
      </x:c>
      <x:c r="G16" s="13" t="n">
        <x:v>0</x:v>
      </x:c>
      <x:c r="H16" s="12" t="n">
        <x:v>0</x:v>
      </x:c>
      <x:c r="I16" s="13" t="n">
        <x:v>0</x:v>
      </x:c>
      <x:c r="J16" s="13" t="n">
        <x:v>24</x:v>
      </x:c>
      <x:c r="K16" s="13" t="n">
        <x:v>48</x:v>
      </x:c>
      <x:c r="L16" s="13" t="n">
        <x:v>6</x:v>
      </x:c>
      <x:c r="M16" s="13" t="n">
        <x:f>K16*L16</x:f>
        <x:v>288</x:v>
      </x:c>
      <x:c r="N16" s="13" t="n">
        <x:v>0</x:v>
      </x:c>
      <x:c r="O16" s="10" t="str">
        <x:v>新增：赤铜液→赤铜气→惰气提纯赫铜气→液化赫铜→反应池制块；15分离
芯息壤＋24激活液。净酸耗120。</x:v>
      </x:c>
    </x:row>
    <x:row r="17" ht="60" customHeight="1">
      <x:c r="A17" s="14" t="str">
        <x:v>重息壤</x:v>
      </x:c>
      <x:c r="B17" s="14" t="str">
        <x:v>古法+提纯</x:v>
      </x:c>
      <x:c r="C17" s="15" t="n">
        <x:v>0</x:v>
      </x:c>
      <x:c r="D17" s="15" t="n">
        <x:v>0</x:v>
      </x:c>
      <x:c r="E17" s="15" t="n">
        <x:v>0</x:v>
      </x:c>
      <x:c r="F17" s="15" t="n">
        <x:v>84</x:v>
      </x:c>
      <x:c r="G17" s="15" t="n">
        <x:v>0</x:v>
      </x:c>
      <x:c r="H17" s="16" t="str">
        <x:v>30息壤/每满速</x:v>
      </x:c>
      <x:c r="I17" s="15" t="n">
        <x:v>0</x:v>
      </x:c>
      <x:c r="J17" s="15" t="n">
        <x:v>0</x:v>
      </x:c>
      <x:c r="K17" s="15" t="n">
        <x:v>27</x:v>
      </x:c>
      <x:c r="L17" s="15" t="n">
        <x:v>6</x:v>
      </x:c>
      <x:c r="M17" s="15" t="n">
        <x:f>K17*L17</x:f>
        <x:v>162</x:v>
      </x:c>
      <x:c r="N17" s="15" t="n">
        <x:v>0</x:v>
      </x:c>
      <x:c r="O17" s="14" t="str">
        <x:v>60息壤＋30废液→6重息壤；回收提纯后制废液耗24息壤。另列洪炉占
用30。</x:v>
      </x:c>
    </x:row>
    <x:row r="18" ht="60" customHeight="1">
      <x:c r="A18" s="10" t="str">
        <x:v>重息壤</x:v>
      </x:c>
      <x:c r="B18" s="10" t="str">
        <x:v>古法+提纯+节点</x:v>
      </x:c>
      <x:c r="C18" s="13" t="n">
        <x:v>0</x:v>
      </x:c>
      <x:c r="D18" s="13" t="n">
        <x:v>0</x:v>
      </x:c>
      <x:c r="E18" s="13" t="n">
        <x:v>0</x:v>
      </x:c>
      <x:c r="F18" s="13" t="n">
        <x:v>74.4</x:v>
      </x:c>
      <x:c r="G18" s="13" t="n">
        <x:v>0</x:v>
      </x:c>
      <x:c r="H18" s="12" t="str">
        <x:v>30息壤/每满速</x:v>
      </x:c>
      <x:c r="I18" s="13" t="n">
        <x:v>0</x:v>
      </x:c>
      <x:c r="J18" s="13" t="n">
        <x:v>0</x:v>
      </x:c>
      <x:c r="K18" s="13" t="n">
        <x:v>27</x:v>
      </x:c>
      <x:c r="L18" s="13" t="n">
        <x:v>6</x:v>
      </x:c>
      <x:c r="M18" s="13" t="n">
        <x:f>K18*L18</x:f>
        <x:v>162</x:v>
      </x:c>
      <x:c r="N18" s="13" t="n">
        <x:v>12</x:v>
      </x:c>
      <x:c r="O18" s="10" t="str">
        <x:v>60息壤＋30废液→6重息壤；12外部废液后自产18废液耗14.4息
壤。另列占用30。</x:v>
      </x:c>
    </x:row>
    <x:row r="19" ht="60" customHeight="1">
      <x:c r="A19" s="14" t="str">
        <x:v>重息壤</x:v>
      </x:c>
      <x:c r="B19" s="14" t="str">
        <x:v>固气</x:v>
      </x:c>
      <x:c r="C19" s="15" t="n">
        <x:v>0</x:v>
      </x:c>
      <x:c r="D19" s="15" t="n">
        <x:v>0</x:v>
      </x:c>
      <x:c r="E19" s="15" t="n">
        <x:v>30</x:v>
      </x:c>
      <x:c r="F19" s="15" t="n">
        <x:v>15</x:v>
      </x:c>
      <x:c r="G19" s="15" t="n">
        <x:v>66</x:v>
      </x:c>
      <x:c r="H19" s="16" t="n">
        <x:v>0</x:v>
      </x:c>
      <x:c r="I19" s="15" t="n">
        <x:v>6</x:v>
      </x:c>
      <x:c r="J19" s="15" t="n">
        <x:v>0</x:v>
      </x:c>
      <x:c r="K19" s="15" t="n">
        <x:v>27</x:v>
      </x:c>
      <x:c r="L19" s="15" t="n">
        <x:v>12</x:v>
      </x:c>
      <x:c r="M19" s="15" t="n">
        <x:f>K19*L19</x:f>
        <x:v>324</x:v>
      </x:c>
      <x:c r="N19" s="15" t="n">
        <x:v>0</x:v>
      </x:c>
      <x:c r="O19" s="14" t="str">
        <x:v>惰气提纯：60息壤气＋30分离芯→30重息壤气；另6气转固产12重息
壤。</x:v>
      </x:c>
    </x:row>
    <x:row r="20" ht="60" customHeight="1">
      <x:c r="A20" s="10" t="str">
        <x:v>重息壤</x:v>
      </x:c>
      <x:c r="B20" s="10" t="str">
        <x:v>液气</x:v>
      </x:c>
      <x:c r="C20" s="13" t="n">
        <x:v>0</x:v>
      </x:c>
      <x:c r="D20" s="13" t="n">
        <x:v>0</x:v>
      </x:c>
      <x:c r="E20" s="13" t="n">
        <x:v>30</x:v>
      </x:c>
      <x:c r="F20" s="13" t="n">
        <x:v>87</x:v>
      </x:c>
      <x:c r="G20" s="13" t="n">
        <x:v>6</x:v>
      </x:c>
      <x:c r="H20" s="12" t="n">
        <x:v>0</x:v>
      </x:c>
      <x:c r="I20" s="13" t="n">
        <x:v>6</x:v>
      </x:c>
      <x:c r="J20" s="13" t="n">
        <x:v>12</x:v>
      </x:c>
      <x:c r="K20" s="13" t="n">
        <x:v>27</x:v>
      </x:c>
      <x:c r="L20" s="13" t="n">
        <x:v>12</x:v>
      </x:c>
      <x:c r="M20" s="13" t="n">
        <x:f>K20*L20</x:f>
        <x:v>324</x:v>
      </x:c>
      <x:c r="N20" s="13" t="n">
        <x:v>0</x:v>
      </x:c>
      <x:c r="O20" s="10" t="str">
        <x:v>液气自产60息壤气耗72息壤（含12激活液），加15分离芯息壤；再用
6外部气转固。内部60气勿重复扣除。</x:v>
      </x:c>
    </x:row>
    <x:row r="21" ht="60" customHeight="1">
      <x:c r="A21" s="14" t="str">
        <x:v>灼铜</x:v>
      </x:c>
      <x:c r="B21" s="14" t="str">
        <x:v>固气</x:v>
      </x:c>
      <x:c r="C21" s="15" t="n">
        <x:v>0</x:v>
      </x:c>
      <x:c r="D21" s="15" t="n">
        <x:v>0</x:v>
      </x:c>
      <x:c r="E21" s="15" t="n">
        <x:v>150</x:v>
      </x:c>
      <x:c r="F21" s="15" t="n">
        <x:v>15</x:v>
      </x:c>
      <x:c r="G21" s="15" t="n">
        <x:v>48</x:v>
      </x:c>
      <x:c r="H21" s="16" t="str">
        <x:v>1.2息壤/每4满速</x:v>
      </x:c>
      <x:c r="I21" s="15" t="n">
        <x:v>18</x:v>
      </x:c>
      <x:c r="J21" s="15" t="n">
        <x:v>0</x:v>
      </x:c>
      <x:c r="K21" s="15" t="n">
        <x:v>70</x:v>
      </x:c>
      <x:c r="L21" s="15" t="n">
        <x:v>6</x:v>
      </x:c>
      <x:c r="M21" s="15" t="n">
        <x:f>K21*L21</x:f>
        <x:v>420</x:v>
      </x:c>
      <x:c r="N21" s="15" t="n">
        <x:v>0</x:v>
      </x:c>
      <x:c r="O21" s="14" t="str">
        <x:v>赤铜块→赤铜气→惰气提纯赫铜气→灼铜气→灼铜块→零件；激活气18已含
于48。</x:v>
      </x:c>
    </x:row>
    <x:row r="22" ht="60" customHeight="1">
      <x:c r="A22" s="10" t="str">
        <x:v>灼铜</x:v>
      </x:c>
      <x:c r="B22" s="10" t="str">
        <x:v>液气1</x:v>
      </x:c>
      <x:c r="C22" s="13" t="n">
        <x:v>0</x:v>
      </x:c>
      <x:c r="D22" s="13" t="n">
        <x:v>0</x:v>
      </x:c>
      <x:c r="E22" s="13" t="n">
        <x:v>150</x:v>
      </x:c>
      <x:c r="F22" s="13" t="n">
        <x:v>27</x:v>
      </x:c>
      <x:c r="G22" s="13" t="n">
        <x:v>36</x:v>
      </x:c>
      <x:c r="H22" s="12" t="str">
        <x:v>1.2息壤/每4满速</x:v>
      </x:c>
      <x:c r="I22" s="13" t="n">
        <x:v>6</x:v>
      </x:c>
      <x:c r="J22" s="13" t="n">
        <x:v>12</x:v>
      </x:c>
      <x:c r="K22" s="13" t="n">
        <x:v>70</x:v>
      </x:c>
      <x:c r="L22" s="13" t="n">
        <x:v>6</x:v>
      </x:c>
      <x:c r="M22" s="13" t="n">
        <x:f>K22*L22</x:f>
        <x:v>420</x:v>
      </x:c>
      <x:c r="N22" s="13" t="n">
        <x:v>0</x:v>
      </x:c>
      <x:c r="O22" s="10" t="str">
        <x:v>赤铜液→赤铜气→惰气提纯赫铜气→灼铜；15息壤＋12激活液＝27；气
30反应＋6激活。</x:v>
      </x:c>
    </x:row>
    <x:row r="23" ht="60" customHeight="1">
      <x:c r="A23" s="14" t="str">
        <x:v>灼铜</x:v>
      </x:c>
      <x:c r="B23" s="14" t="str">
        <x:v>液气2</x:v>
      </x:c>
      <x:c r="C23" s="15" t="n">
        <x:v>0</x:v>
      </x:c>
      <x:c r="D23" s="15" t="n">
        <x:v>0</x:v>
      </x:c>
      <x:c r="E23" s="15" t="n">
        <x:v>240</x:v>
      </x:c>
      <x:c r="F23" s="15" t="n">
        <x:v>12</x:v>
      </x:c>
      <x:c r="G23" s="15" t="n">
        <x:v>36</x:v>
      </x:c>
      <x:c r="H23" s="16" t="str">
        <x:v>1.2息壤/每4满速</x:v>
      </x:c>
      <x:c r="I23" s="15" t="n">
        <x:v>6</x:v>
      </x:c>
      <x:c r="J23" s="15" t="n">
        <x:v>12</x:v>
      </x:c>
      <x:c r="K23" s="15" t="n">
        <x:v>70</x:v>
      </x:c>
      <x:c r="L23" s="15" t="n">
        <x:v>6</x:v>
      </x:c>
      <x:c r="M23" s="15" t="n">
        <x:f>K23*L23</x:f>
        <x:v>420</x:v>
      </x:c>
      <x:c r="N23" s="15" t="n">
        <x:v>0</x:v>
      </x:c>
      <x:c r="O23" s="14" t="str">
        <x:v>赤铜液→赫铜液→赫铜气→灼铜；修正为12液激活、36总气（30反应＋
6转固激活）。净酸耗180。</x:v>
      </x:c>
    </x:row>
    <x:row r="24" ht="60" customHeight="1">
      <x:c r="A24" s="10" t="str">
        <x:v>灼铜</x:v>
      </x:c>
      <x:c r="B24" s="18" t="str">
        <x:v>液提纯→制块转气</x:v>
      </x:c>
      <x:c r="C24" s="13" t="n">
        <x:v>0</x:v>
      </x:c>
      <x:c r="D24" s="13" t="n">
        <x:v>30</x:v>
      </x:c>
      <x:c r="E24" s="13" t="n">
        <x:v>240</x:v>
      </x:c>
      <x:c r="F24" s="13" t="n">
        <x:v>0</x:v>
      </x:c>
      <x:c r="G24" s="13" t="n">
        <x:v>42</x:v>
      </x:c>
      <x:c r="H24" s="12" t="str">
        <x:v>1.2息壤/每4满速</x:v>
      </x:c>
      <x:c r="I24" s="13" t="n">
        <x:v>12</x:v>
      </x:c>
      <x:c r="J24" s="13" t="n">
        <x:v>0</x:v>
      </x:c>
      <x:c r="K24" s="13" t="n">
        <x:v>70</x:v>
      </x:c>
      <x:c r="L24" s="13" t="n">
        <x:v>6</x:v>
      </x:c>
      <x:c r="M24" s="13" t="n">
        <x:f>K24*L24</x:f>
        <x:v>420</x:v>
      </x:c>
      <x:c r="N24" s="13" t="n">
        <x:v>0</x:v>
      </x:c>
      <x:c r="O24" s="10" t="str">
        <x:v>新增：赤铜液→赫铜液→加蓝铁制赫铜块→固气转赫铜气→灼铜；气30反应
＋12转化。JSON(4)采用此路线；净酸耗180。</x:v>
      </x:c>
    </x:row>
    <x:row r="25" ht="60" customHeight="1">
      <x:c r="A25" s="14" t="str">
        <x:v>息壤龙泡泡（活动）</x:v>
      </x:c>
      <x:c r="B25" s="14" t="str">
        <x:v>普通</x:v>
      </x:c>
      <x:c r="C25" s="15" t="n">
        <x:v>0</x:v>
      </x:c>
      <x:c r="D25" s="15" t="n">
        <x:v>0</x:v>
      </x:c>
      <x:c r="E25" s="15" t="n">
        <x:v>120</x:v>
      </x:c>
      <x:c r="F25" s="15" t="n">
        <x:v>60</x:v>
      </x:c>
      <x:c r="G25" s="15" t="n">
        <x:v>0</x:v>
      </x:c>
      <x:c r="H25" s="16" t="n">
        <x:v>0</x:v>
      </x:c>
      <x:c r="I25" s="15" t="n">
        <x:v>0</x:v>
      </x:c>
      <x:c r="J25" s="15" t="n">
        <x:v>0</x:v>
      </x:c>
      <x:c r="K25" s="15" t="n">
        <x:v>100</x:v>
      </x:c>
      <x:c r="L25" s="15" t="n">
        <x:v>6</x:v>
      </x:c>
      <x:c r="M25" s="15" t="n">
        <x:f>K25*L25</x:f>
        <x:v>600</x:v>
      </x:c>
      <x:c r="N25" s="15" t="n">
        <x:v>0</x:v>
      </x:c>
      <x:c r="O25" s="14" t="str">
        <x:v>实验息壤块→外壳；赤铜零件＋息壤→实验铜骨骼；合成普通龙泡泡。</x:v>
      </x:c>
    </x:row>
    <x:row r="26" ht="60" customHeight="1">
      <x:c r="A26" s="10" t="str">
        <x:v>重息壤龙泡泡（活动）</x:v>
      </x:c>
      <x:c r="B26" s="10" t="str">
        <x:v>固气</x:v>
      </x:c>
      <x:c r="C26" s="13" t="n">
        <x:v>0</x:v>
      </x:c>
      <x:c r="D26" s="13" t="n">
        <x:v>0</x:v>
      </x:c>
      <x:c r="E26" s="13" t="n">
        <x:v>150</x:v>
      </x:c>
      <x:c r="F26" s="13" t="n">
        <x:v>15</x:v>
      </x:c>
      <x:c r="G26" s="13" t="n">
        <x:v>114</x:v>
      </x:c>
      <x:c r="H26" s="12" t="n">
        <x:v>0</x:v>
      </x:c>
      <x:c r="I26" s="13" t="n">
        <x:v>24</x:v>
      </x:c>
      <x:c r="J26" s="13" t="n">
        <x:v>0</x:v>
      </x:c>
      <x:c r="K26" s="13" t="n">
        <x:v>200</x:v>
      </x:c>
      <x:c r="L26" s="13" t="n">
        <x:v>6</x:v>
      </x:c>
      <x:c r="M26" s="13" t="n">
        <x:f>K26*L26</x:f>
        <x:v>1200</x:v>
      </x:c>
      <x:c r="N26" s="13" t="n">
        <x:v>0</x:v>
      </x:c>
      <x:c r="O26" s="10" t="str">
        <x:v>赤铜块转气制实验铜骨骼；重息壤同时用于骨骼与重壳，共12重息壤；惰气
提纯。</x:v>
      </x:c>
    </x:row>
    <x:row r="27" ht="60" customHeight="1">
      <x:c r="A27" s="14" t="str">
        <x:v>重息壤龙泡泡（活动）</x:v>
      </x:c>
      <x:c r="B27" s="14" t="str">
        <x:v>液气</x:v>
      </x:c>
      <x:c r="C27" s="15" t="n">
        <x:v>0</x:v>
      </x:c>
      <x:c r="D27" s="15" t="n">
        <x:v>0</x:v>
      </x:c>
      <x:c r="E27" s="15" t="n">
        <x:v>150</x:v>
      </x:c>
      <x:c r="F27" s="15" t="n">
        <x:v>27</x:v>
      </x:c>
      <x:c r="G27" s="15" t="n">
        <x:v>102</x:v>
      </x:c>
      <x:c r="H27" s="16" t="n">
        <x:v>0</x:v>
      </x:c>
      <x:c r="I27" s="15" t="n">
        <x:v>12</x:v>
      </x:c>
      <x:c r="J27" s="15" t="n">
        <x:v>12</x:v>
      </x:c>
      <x:c r="K27" s="15" t="n">
        <x:v>200</x:v>
      </x:c>
      <x:c r="L27" s="15" t="n">
        <x:v>6</x:v>
      </x:c>
      <x:c r="M27" s="15" t="n">
        <x:f>K27*L27</x:f>
        <x:v>1200</x:v>
      </x:c>
      <x:c r="N27" s="15" t="n">
        <x:v>0</x:v>
      </x:c>
      <x:c r="O27" s="14" t="str">
        <x:v>赤铜液转气制实验铜骨骼；其余与固气活动路线相同；12激活液已计入27
息壤。</x:v>
      </x:c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 ht="24" customHeight="1">
      <x:c r="A29" s="3" t="str">
        <x:v>筛选范围：本次核对的原表工艺与新增主路线。未声称穷举所有上游组合；气液固供料需在完整配方网络中另算。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 ht="24" customHeight="1">
      <x:c r="A30" s="3" t="str">
        <x:v>删去非惰气版本：在惰气可用条件下，原矿、蓝铁和气量无优势，赤铜及息壤更高。惰气不可用时不得照用本表筛选。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 ht="24" customHeight="1">
      <x:c r="A31" s="3" t="str">
        <x:v>删去不回收惰性废液版本：在提纯可用、设备数不受限条件下，其余核心资源相同，息壤更高。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 ht="24" customHeight="1">
      <x:c r="A32" s="3" t="str">
        <x:v>删去固气赤铜→气提纯→转液制赫铜块：150赤铜＋30蓝铁＋27息壤＋12气，被赫铜液气的150赤铜＋0蓝铁＋27息壤＋6气支配。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 ht="24" customHeight="1">
      <x:c r="A33" s="3" t="str">
        <x:v>删去古法赫铜的额外赤铜气化再液化供料：同样240赤铜和30蓝铁，新增相变消耗；直接赤铜粉末制液更省。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 ht="24" customHeight="1">
      <x:c r="A34" s="3" t="str">
        <x:v>外部废液：两条节点路线各列12供液，是独立方案，不能同时各用12而只输入12。占用成本沿用工程口径，不是原始配方系数。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 ht="24" customHeight="1">
      <x:c r="A35" s="3" t="str">
        <x:v>植物、清水、沉积酸、惰气未单列；备注中的净酸耗只指主链。息壤总量含激活液，息壤气总量含激活气。</x:v>
      </x:c>
    </x:row>
  </x:sheetData>
  <x:pageMargins left="0.7" right="0.7" top="0.75" bottom="0.75" header="0.3" footer="0.3"/>
  <x:tableParts count="1">
    <x:tablePart xmlns:r="http://schemas.openxmlformats.org/officeDocument/2006/relationships" r:id="R38f477bdc5794937"/>
  </x:tableParts>
</x:worksheet>
</file>